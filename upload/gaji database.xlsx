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29816A0-384D-4581-8CD1-1B39A9576609}" xr6:coauthVersionLast="47" xr6:coauthVersionMax="47" xr10:uidLastSave="{00000000-0000-0000-0000-000000000000}"/>
  <bookViews>
    <workbookView xWindow="-110" yWindow="-110" windowWidth="19420" windowHeight="11500" xr2:uid="{2EA70AB9-D191-4B48-A8AF-467B86E95564}"/>
  </bookViews>
  <sheets>
    <sheet name="Database" sheetId="1" r:id="rId1"/>
  </sheets>
  <externalReferences>
    <externalReference r:id="rId2"/>
  </externalReferences>
  <definedNames>
    <definedName name="CABANG">'[1]MASTER OLIMPIADE'!$D$3:$D$18</definedName>
    <definedName name="GAJI">Database!$A$1:$I$26</definedName>
    <definedName name="KGAJI">Database!$H$2:$H$26</definedName>
    <definedName name="REKAP">'[1]MASTER OLIMPIADE'!$B$1:$T$18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</calcChain>
</file>

<file path=xl/sharedStrings.xml><?xml version="1.0" encoding="utf-8"?>
<sst xmlns="http://schemas.openxmlformats.org/spreadsheetml/2006/main" count="124" uniqueCount="62">
  <si>
    <t>DAFTAR GTTS DAN PTTS SMAN 1 TELUKDALAM</t>
  </si>
  <si>
    <t>NO</t>
  </si>
  <si>
    <t>NAMA</t>
  </si>
  <si>
    <t>NO. REKENING TABUNGAN</t>
  </si>
  <si>
    <t>JUMLAH BULAN/JAM PELAJARAN</t>
  </si>
  <si>
    <t>SATUAN</t>
  </si>
  <si>
    <t>HARGA SATUAN/ BULAN/JAM PELAJARAN</t>
  </si>
  <si>
    <t>PENERIMAAN BERSIH</t>
  </si>
  <si>
    <t>STATUS</t>
  </si>
  <si>
    <t>JABATAN</t>
  </si>
  <si>
    <t>SELATIELI NEHE, S.PD</t>
  </si>
  <si>
    <t>271.02.04.019425-0</t>
  </si>
  <si>
    <t>JPL</t>
  </si>
  <si>
    <t>GURU TIDAK TETAP SEKOLAH (GTTS)</t>
  </si>
  <si>
    <t>ARIFIN METODI BATEE, S.PD</t>
  </si>
  <si>
    <t>271.02.04.022119-0</t>
  </si>
  <si>
    <t>FERDIWATI WAU, S.PD</t>
  </si>
  <si>
    <t>271.02.04.019428-0</t>
  </si>
  <si>
    <t>NONI ALFANITA SARUMAHA, S.PD</t>
  </si>
  <si>
    <t>271.02.04.034078-5</t>
  </si>
  <si>
    <t>EMILA HAFO, S.PD</t>
  </si>
  <si>
    <t>271.02.04.032793-7</t>
  </si>
  <si>
    <t>ASEP NURHIDAYAT, S.Pd.I</t>
  </si>
  <si>
    <t>271.02.04.034928-3</t>
  </si>
  <si>
    <t>ESTERA NEHE, S.PD</t>
  </si>
  <si>
    <t>271.02.04.020844-0</t>
  </si>
  <si>
    <t>OB</t>
  </si>
  <si>
    <t>PEGAWAI TIDAK TETAP SEKOLAH (PTTS)</t>
  </si>
  <si>
    <t>HATIELI BU'ULOLO, S.PD</t>
  </si>
  <si>
    <t>271.02.04.020859-0</t>
  </si>
  <si>
    <t>PTTS</t>
  </si>
  <si>
    <t>DAVID J. SITINJAK, S.PD</t>
  </si>
  <si>
    <t>271.02.04.031552-0</t>
  </si>
  <si>
    <t>SIONA ZIRALUO, S.Kom</t>
  </si>
  <si>
    <t>271.02.04.03.4478-6</t>
  </si>
  <si>
    <t>MERDINA ZIRALUO, S.PD</t>
  </si>
  <si>
    <t>271.02.04.000781-9</t>
  </si>
  <si>
    <t>GERARDUS SAFRIL SARUMAHA, S.Kom</t>
  </si>
  <si>
    <t>271.02.04.035851-2</t>
  </si>
  <si>
    <t>Sadamani Laia, S.Pd</t>
  </si>
  <si>
    <t>271.02.04.017834-0</t>
  </si>
  <si>
    <t>HONORER SEKOLAH</t>
  </si>
  <si>
    <t>Meido Brillian Surbakti, S.Pd</t>
  </si>
  <si>
    <t>271.02.04.038792-0</t>
  </si>
  <si>
    <t>GURU SEMENTARA</t>
  </si>
  <si>
    <t>NOVIKA EFDIMASARI HALAWA,S.S.I</t>
  </si>
  <si>
    <t>271.02.04.038791-9</t>
  </si>
  <si>
    <t>FARREL JOEL PRASETYA NDRAHA</t>
  </si>
  <si>
    <t>-</t>
  </si>
  <si>
    <t>PETUGAS KEBERSIHAN</t>
  </si>
  <si>
    <t>Kevin Marchell Gulo, S.Sn</t>
  </si>
  <si>
    <t>Asrinawati Ge'e, S.Kom</t>
  </si>
  <si>
    <t>271.02.04.039953-1</t>
  </si>
  <si>
    <t>GTTS</t>
  </si>
  <si>
    <t>Wirna Aceh</t>
  </si>
  <si>
    <t>NELPI K. WATI GOHAE, S.Pd.</t>
  </si>
  <si>
    <t>271.02.04.039588-2</t>
  </si>
  <si>
    <t>Arif Trisman Daniel Laia, S.Si</t>
  </si>
  <si>
    <t>271.02.05.006143-5</t>
  </si>
  <si>
    <t>AMPUNI DACHI</t>
  </si>
  <si>
    <t>PEGAWAI SEKOLAH</t>
  </si>
  <si>
    <t>Amonius Dakhi, S.Kom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</si>
</sst>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Arial MT"/>
      <family val="2"/>
    </font>
    <font>
      <sz val="11"/>
      <color theme="1"/>
      <name val="Book old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9" fillId="0" borderId="2" xfId="2" applyNumberFormat="1" applyFont="1" applyBorder="1" applyAlignment="1">
      <alignment horizontal="center" vertical="center" wrapText="1"/>
    </xf>
    <xf numFmtId="3" fontId="10" fillId="4" borderId="6" xfId="2" applyNumberFormat="1" applyFont="1" applyFill="1" applyBorder="1" applyAlignment="1">
      <alignment horizontal="center" vertical="center" shrinkToFit="1"/>
    </xf>
    <xf numFmtId="3" fontId="9" fillId="0" borderId="2" xfId="2" applyNumberFormat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right" vertical="center" wrapText="1"/>
    </xf>
    <xf numFmtId="164" fontId="8" fillId="0" borderId="2" xfId="1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49" fontId="9" fillId="4" borderId="2" xfId="2" applyNumberFormat="1" applyFont="1" applyFill="1" applyBorder="1" applyAlignment="1">
      <alignment horizontal="center" vertical="center" wrapText="1"/>
    </xf>
    <xf numFmtId="3" fontId="9" fillId="4" borderId="2" xfId="2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3" applyFont="1" applyBorder="1" applyAlignment="1" applyProtection="1">
      <alignment horizontal="center" vertical="center"/>
      <protection locked="0"/>
    </xf>
    <xf numFmtId="164" fontId="9" fillId="4" borderId="2" xfId="1" applyNumberFormat="1" applyFont="1" applyFill="1" applyBorder="1" applyAlignment="1">
      <alignment horizontal="right" vertical="center" wrapText="1"/>
    </xf>
    <xf numFmtId="164" fontId="8" fillId="0" borderId="0" xfId="1" applyNumberFormat="1" applyFont="1" applyAlignment="1">
      <alignment vertical="center"/>
    </xf>
    <xf numFmtId="0" fontId="8" fillId="5" borderId="2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3" fontId="11" fillId="4" borderId="6" xfId="0" applyNumberFormat="1" applyFont="1" applyFill="1" applyBorder="1" applyAlignment="1">
      <alignment vertical="center"/>
    </xf>
    <xf numFmtId="0" fontId="11" fillId="4" borderId="6" xfId="2" applyFont="1" applyFill="1" applyBorder="1" applyAlignment="1">
      <alignment vertic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 2" xfId="2" xr:uid="{86661CA8-9360-4EF1-B899-8071B92BA2B0}"/>
    <cellStyle name="Normal 3" xfId="3" xr:uid="{1886B7BA-CCFF-4FFA-8024-D5CA933D4FCA}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A%20BKU%202024/Gaji_Olimpiade_Koran_Narsum/Cetak%20Gaji/_CETAK%20Gaji%20dan%20OS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TAK BANK"/>
      <sheetName val="TANDA TANGAN"/>
      <sheetName val="REKAP"/>
      <sheetName val="Nama Pegawai"/>
      <sheetName val="REKENING KORAN"/>
      <sheetName val="CETAK MEDIA"/>
      <sheetName val="Database"/>
      <sheetName val="TANDA TANGAN (2)"/>
      <sheetName val="CETAK OLIMPIADE UMUM"/>
      <sheetName val="MASTER OLIMPIADE"/>
      <sheetName val="CETAK OLIMPIADE"/>
      <sheetName val="CETAK Seluruh OLIMPIADE"/>
      <sheetName val="MASTER MEDIA"/>
      <sheetName val="MASTER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REKAP  PEMBIMBINGAN OSN-S dan O2SN TP. 2024</v>
          </cell>
        </row>
        <row r="3">
          <cell r="B3" t="str">
            <v>NO</v>
          </cell>
          <cell r="C3" t="str">
            <v>NAMA</v>
          </cell>
          <cell r="D3" t="str">
            <v>BIDANG</v>
          </cell>
          <cell r="E3" t="str">
            <v>BIDANG II</v>
          </cell>
          <cell r="F3" t="str">
            <v>JUMLAH PERTEMUAN</v>
          </cell>
          <cell r="H3" t="str">
            <v>TIDAK HADIR</v>
          </cell>
          <cell r="I3" t="str">
            <v>SATUAN/PERTEMUAN</v>
          </cell>
          <cell r="J3" t="str">
            <v>PENERIMAAN</v>
          </cell>
          <cell r="K3" t="str">
            <v>TANGGAL PERTEMUAN</v>
          </cell>
        </row>
        <row r="4">
          <cell r="K4">
            <v>1</v>
          </cell>
          <cell r="L4">
            <v>2</v>
          </cell>
          <cell r="M4">
            <v>3</v>
          </cell>
          <cell r="N4">
            <v>4</v>
          </cell>
          <cell r="O4">
            <v>5</v>
          </cell>
          <cell r="P4">
            <v>6</v>
          </cell>
          <cell r="Q4">
            <v>7</v>
          </cell>
          <cell r="R4">
            <v>8</v>
          </cell>
          <cell r="S4">
            <v>9</v>
          </cell>
          <cell r="T4">
            <v>10</v>
          </cell>
        </row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</row>
        <row r="6">
          <cell r="B6">
            <v>1</v>
          </cell>
          <cell r="C6" t="str">
            <v>PILIPUS MANAO, S.PD.,M.M</v>
          </cell>
          <cell r="D6" t="str">
            <v>MATEMATIKA</v>
          </cell>
          <cell r="E6" t="str">
            <v>UMUM</v>
          </cell>
          <cell r="F6">
            <v>10</v>
          </cell>
          <cell r="G6" t="str">
            <v>PERTEMUAN</v>
          </cell>
          <cell r="H6" t="str">
            <v>-</v>
          </cell>
          <cell r="I6">
            <v>120000</v>
          </cell>
          <cell r="J6">
            <v>1200000</v>
          </cell>
          <cell r="K6" t="str">
            <v>01/02/2024</v>
          </cell>
          <cell r="L6" t="str">
            <v>06/02/2024</v>
          </cell>
          <cell r="M6" t="str">
            <v>12/02/2024</v>
          </cell>
          <cell r="N6">
            <v>45337</v>
          </cell>
          <cell r="O6">
            <v>45342</v>
          </cell>
          <cell r="P6">
            <v>45344</v>
          </cell>
          <cell r="Q6">
            <v>45349</v>
          </cell>
          <cell r="R6">
            <v>45351</v>
          </cell>
          <cell r="S6" t="str">
            <v>05/03/2024</v>
          </cell>
          <cell r="T6">
            <v>45365</v>
          </cell>
        </row>
        <row r="7">
          <cell r="B7">
            <v>2</v>
          </cell>
          <cell r="C7" t="str">
            <v>CARLES FAU, S.SI</v>
          </cell>
          <cell r="D7" t="str">
            <v>FISIKA</v>
          </cell>
          <cell r="E7" t="str">
            <v>UMUM</v>
          </cell>
          <cell r="F7">
            <v>10</v>
          </cell>
          <cell r="G7" t="str">
            <v>PERTEMUAN</v>
          </cell>
          <cell r="H7" t="str">
            <v>-</v>
          </cell>
          <cell r="I7">
            <v>120000</v>
          </cell>
          <cell r="J7">
            <v>1200000</v>
          </cell>
          <cell r="K7" t="str">
            <v>03/02/2024</v>
          </cell>
          <cell r="L7" t="str">
            <v>05/02/2024</v>
          </cell>
          <cell r="M7" t="str">
            <v>12/02/2024</v>
          </cell>
          <cell r="N7">
            <v>45339</v>
          </cell>
          <cell r="O7">
            <v>45341</v>
          </cell>
          <cell r="P7">
            <v>45346</v>
          </cell>
          <cell r="Q7">
            <v>45348</v>
          </cell>
          <cell r="R7">
            <v>45353</v>
          </cell>
          <cell r="S7">
            <v>45355</v>
          </cell>
          <cell r="T7" t="str">
            <v>09/03/2024</v>
          </cell>
        </row>
        <row r="8">
          <cell r="B8">
            <v>3</v>
          </cell>
          <cell r="C8" t="str">
            <v>NUR NILAM HAREFA, S.PD</v>
          </cell>
          <cell r="D8" t="str">
            <v>KIMIA</v>
          </cell>
          <cell r="E8" t="str">
            <v>UMUM</v>
          </cell>
          <cell r="F8">
            <v>10</v>
          </cell>
          <cell r="G8" t="str">
            <v>PERTEMUAN</v>
          </cell>
          <cell r="H8" t="str">
            <v>-</v>
          </cell>
          <cell r="I8">
            <v>120000</v>
          </cell>
          <cell r="J8">
            <v>1200000</v>
          </cell>
          <cell r="K8" t="str">
            <v>19/02/2024</v>
          </cell>
          <cell r="L8" t="str">
            <v>07/02/2024</v>
          </cell>
          <cell r="M8" t="str">
            <v>16/02/2024</v>
          </cell>
          <cell r="N8">
            <v>45339</v>
          </cell>
          <cell r="O8">
            <v>45341</v>
          </cell>
          <cell r="P8">
            <v>45344</v>
          </cell>
          <cell r="Q8">
            <v>45351</v>
          </cell>
          <cell r="R8">
            <v>45359</v>
          </cell>
          <cell r="S8">
            <v>45359</v>
          </cell>
          <cell r="T8" t="str">
            <v>03/03/2024</v>
          </cell>
        </row>
        <row r="9">
          <cell r="B9">
            <v>4</v>
          </cell>
          <cell r="C9" t="str">
            <v>SIPRIANUS HONDRO, ST</v>
          </cell>
          <cell r="D9" t="str">
            <v>INFORMATIKA</v>
          </cell>
          <cell r="E9" t="str">
            <v>UMUM</v>
          </cell>
          <cell r="F9">
            <v>10</v>
          </cell>
          <cell r="G9" t="str">
            <v>PERTEMUAN</v>
          </cell>
          <cell r="H9" t="str">
            <v>-</v>
          </cell>
          <cell r="I9">
            <v>120000</v>
          </cell>
          <cell r="J9">
            <v>1200000</v>
          </cell>
          <cell r="K9" t="str">
            <v>01/02/2024</v>
          </cell>
          <cell r="L9" t="str">
            <v>20/02/2024</v>
          </cell>
          <cell r="M9" t="str">
            <v>16/02/2024</v>
          </cell>
          <cell r="N9">
            <v>45345</v>
          </cell>
          <cell r="O9">
            <v>45348</v>
          </cell>
          <cell r="P9">
            <v>45326</v>
          </cell>
          <cell r="Q9">
            <v>45336</v>
          </cell>
          <cell r="R9">
            <v>45369</v>
          </cell>
          <cell r="S9">
            <v>45371</v>
          </cell>
          <cell r="T9" t="str">
            <v>08/03/2024</v>
          </cell>
        </row>
        <row r="10">
          <cell r="B10">
            <v>5</v>
          </cell>
          <cell r="C10" t="str">
            <v>RIAMA TIODORA SIAHAAN, S.PD</v>
          </cell>
          <cell r="D10" t="str">
            <v>BIOLOGI</v>
          </cell>
          <cell r="E10" t="str">
            <v>UMUM</v>
          </cell>
          <cell r="F10">
            <v>10</v>
          </cell>
          <cell r="G10" t="str">
            <v>PERTEMUAN</v>
          </cell>
          <cell r="H10" t="str">
            <v>-</v>
          </cell>
          <cell r="I10">
            <v>120000</v>
          </cell>
          <cell r="J10">
            <v>1200000</v>
          </cell>
          <cell r="K10" t="str">
            <v>03/02/2024</v>
          </cell>
          <cell r="L10" t="str">
            <v>03/02/2024</v>
          </cell>
          <cell r="M10" t="str">
            <v>16/02/2025</v>
          </cell>
          <cell r="N10">
            <v>45339</v>
          </cell>
          <cell r="O10">
            <v>45345</v>
          </cell>
          <cell r="P10">
            <v>45345</v>
          </cell>
          <cell r="Q10">
            <v>45351</v>
          </cell>
          <cell r="R10" t="str">
            <v>07/03/2024</v>
          </cell>
          <cell r="S10">
            <v>45359</v>
          </cell>
          <cell r="T10">
            <v>45365</v>
          </cell>
        </row>
        <row r="11">
          <cell r="B11">
            <v>6</v>
          </cell>
          <cell r="C11" t="str">
            <v>ARIFIN METODI BATE'E, S.PD</v>
          </cell>
          <cell r="D11" t="str">
            <v>ASTRONOMI</v>
          </cell>
          <cell r="E11" t="str">
            <v>UMUM</v>
          </cell>
          <cell r="F11">
            <v>10</v>
          </cell>
          <cell r="G11" t="str">
            <v>PERTEMUAN</v>
          </cell>
          <cell r="H11" t="str">
            <v>-</v>
          </cell>
          <cell r="I11">
            <v>120000</v>
          </cell>
          <cell r="J11">
            <v>1200000</v>
          </cell>
          <cell r="K11" t="str">
            <v>05/02/2024</v>
          </cell>
          <cell r="L11" t="str">
            <v>07/02/2024</v>
          </cell>
          <cell r="M11" t="str">
            <v>12/02/2024</v>
          </cell>
          <cell r="N11">
            <v>45338</v>
          </cell>
          <cell r="O11">
            <v>45341</v>
          </cell>
          <cell r="P11">
            <v>45345</v>
          </cell>
          <cell r="Q11">
            <v>45348</v>
          </cell>
          <cell r="R11">
            <v>45352</v>
          </cell>
          <cell r="S11">
            <v>45355</v>
          </cell>
          <cell r="T11" t="str">
            <v>08/03/2024</v>
          </cell>
        </row>
        <row r="12">
          <cell r="B12">
            <v>7</v>
          </cell>
          <cell r="C12" t="str">
            <v>TIARLENA GULO, S.PD</v>
          </cell>
          <cell r="D12" t="str">
            <v>EKONOMI</v>
          </cell>
          <cell r="E12" t="str">
            <v>UMUM</v>
          </cell>
          <cell r="F12">
            <v>10</v>
          </cell>
          <cell r="G12" t="str">
            <v>PERTEMUAN</v>
          </cell>
          <cell r="H12" t="str">
            <v>-</v>
          </cell>
          <cell r="I12">
            <v>120000</v>
          </cell>
          <cell r="J12">
            <v>1200000</v>
          </cell>
          <cell r="K12" t="str">
            <v>02/02/2024</v>
          </cell>
          <cell r="L12" t="str">
            <v>06/02/2024</v>
          </cell>
          <cell r="M12" t="str">
            <v>13/02/2024</v>
          </cell>
          <cell r="N12" t="str">
            <v>16/02/2024</v>
          </cell>
          <cell r="O12">
            <v>45343</v>
          </cell>
          <cell r="P12">
            <v>45338</v>
          </cell>
          <cell r="Q12">
            <v>45349</v>
          </cell>
          <cell r="R12" t="str">
            <v>01/03/2024</v>
          </cell>
          <cell r="S12">
            <v>45356</v>
          </cell>
          <cell r="T12" t="str">
            <v>08/03/2024</v>
          </cell>
        </row>
        <row r="13">
          <cell r="B13">
            <v>8</v>
          </cell>
          <cell r="C13" t="str">
            <v>RITAWATI PARHUSIP, S.T.,M.PD</v>
          </cell>
          <cell r="D13" t="str">
            <v>KEBUMIAN</v>
          </cell>
          <cell r="E13" t="str">
            <v>UMUM</v>
          </cell>
          <cell r="F13">
            <v>10</v>
          </cell>
          <cell r="G13" t="str">
            <v>PERTEMUAN</v>
          </cell>
          <cell r="H13" t="str">
            <v>-</v>
          </cell>
          <cell r="I13">
            <v>120000</v>
          </cell>
          <cell r="J13">
            <v>1200000</v>
          </cell>
          <cell r="K13" t="str">
            <v>02/02/2024</v>
          </cell>
          <cell r="L13" t="str">
            <v>06/02/2024</v>
          </cell>
          <cell r="M13" t="str">
            <v>16/02/2024</v>
          </cell>
          <cell r="N13">
            <v>45349</v>
          </cell>
          <cell r="O13">
            <v>45345</v>
          </cell>
          <cell r="P13">
            <v>45349</v>
          </cell>
          <cell r="Q13" t="str">
            <v>01/03/2024</v>
          </cell>
          <cell r="R13">
            <v>45356</v>
          </cell>
          <cell r="S13">
            <v>45360</v>
          </cell>
          <cell r="T13" t="str">
            <v>08/03/2024</v>
          </cell>
        </row>
        <row r="14">
          <cell r="B14">
            <v>9</v>
          </cell>
          <cell r="C14" t="str">
            <v>FRIDA TRISNASARI SIHURA, S.PD</v>
          </cell>
          <cell r="D14" t="str">
            <v>GEOGRAFI</v>
          </cell>
          <cell r="E14" t="str">
            <v>UMUM</v>
          </cell>
          <cell r="F14">
            <v>10</v>
          </cell>
          <cell r="G14" t="str">
            <v>PERTEMUAN</v>
          </cell>
          <cell r="H14" t="str">
            <v>-</v>
          </cell>
          <cell r="I14">
            <v>120000</v>
          </cell>
          <cell r="J14">
            <v>1200000</v>
          </cell>
          <cell r="K14" t="str">
            <v>01/02/2024</v>
          </cell>
          <cell r="L14" t="str">
            <v>03/02/2024</v>
          </cell>
          <cell r="M14" t="str">
            <v>16/02/2024</v>
          </cell>
          <cell r="N14">
            <v>45339</v>
          </cell>
          <cell r="O14">
            <v>45345</v>
          </cell>
          <cell r="P14">
            <v>45346</v>
          </cell>
          <cell r="Q14" t="str">
            <v>01/03/2024</v>
          </cell>
          <cell r="R14">
            <v>45353</v>
          </cell>
          <cell r="S14">
            <v>45355</v>
          </cell>
          <cell r="T14" t="str">
            <v>08/03/2024</v>
          </cell>
        </row>
        <row r="15">
          <cell r="B15">
            <v>10</v>
          </cell>
          <cell r="C15" t="str">
            <v>SELATIELI NEHE, S.PD</v>
          </cell>
          <cell r="D15" t="str">
            <v>KARATE</v>
          </cell>
          <cell r="F15">
            <v>10</v>
          </cell>
          <cell r="G15" t="str">
            <v>PERTEMUAN</v>
          </cell>
          <cell r="H15">
            <v>0</v>
          </cell>
          <cell r="I15">
            <v>120000</v>
          </cell>
          <cell r="J15">
            <v>1200000</v>
          </cell>
        </row>
        <row r="16">
          <cell r="B16">
            <v>11</v>
          </cell>
          <cell r="C16" t="str">
            <v>HATIELI BUULOLO, S.PD</v>
          </cell>
          <cell r="D16" t="str">
            <v>ATLETIK</v>
          </cell>
          <cell r="F16">
            <v>10</v>
          </cell>
          <cell r="G16" t="str">
            <v>PERTEMUAN</v>
          </cell>
          <cell r="H16">
            <v>0</v>
          </cell>
          <cell r="I16">
            <v>120000</v>
          </cell>
          <cell r="J16">
            <v>1200000</v>
          </cell>
        </row>
        <row r="17">
          <cell r="B17">
            <v>12</v>
          </cell>
          <cell r="C17" t="str">
            <v>DAVID J. SITINJAK, S.PD</v>
          </cell>
          <cell r="D17" t="str">
            <v>BADMINTON</v>
          </cell>
          <cell r="F17">
            <v>10</v>
          </cell>
          <cell r="G17" t="str">
            <v>PERTEMUAN</v>
          </cell>
          <cell r="H17">
            <v>0</v>
          </cell>
          <cell r="I17">
            <v>120000</v>
          </cell>
          <cell r="J17">
            <v>1200000</v>
          </cell>
        </row>
        <row r="18">
          <cell r="B18">
            <v>13</v>
          </cell>
          <cell r="C18" t="str">
            <v>SELATIELI NEHE, S.PD</v>
          </cell>
          <cell r="D18" t="str">
            <v>RENANG</v>
          </cell>
          <cell r="F18">
            <v>9</v>
          </cell>
          <cell r="G18" t="str">
            <v>PERTEMUAN</v>
          </cell>
          <cell r="H18">
            <v>0</v>
          </cell>
          <cell r="I18">
            <v>120000</v>
          </cell>
          <cell r="J18">
            <v>1080000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EB5F-C922-4CA9-9810-A31707AADA6C}">
  <sheetPr codeName="Sheet1">
    <tabColor rgb="FFFFC000"/>
    <pageSetUpPr fitToPage="1"/>
  </sheetPr>
  <dimension ref="A1:J38"/>
  <sheetViews>
    <sheetView showGridLines="0" tabSelected="1" zoomScale="90" zoomScaleNormal="90" workbookViewId="0">
      <pane ySplit="3" topLeftCell="A4" activePane="bottomLeft" state="frozen"/>
      <selection pane="bottomLeft" activeCell="A28" sqref="A28:XFD1048576"/>
    </sheetView>
  </sheetViews>
  <sheetFormatPr defaultColWidth="0" defaultRowHeight="14" customHeight="1" zeroHeight="1"/>
  <cols>
    <col min="1" max="1" width="5.90625" style="33" customWidth="1"/>
    <col min="2" max="2" width="36.453125" style="2" customWidth="1"/>
    <col min="3" max="3" width="22.453125" style="2" customWidth="1"/>
    <col min="4" max="4" width="15.54296875" style="2" customWidth="1"/>
    <col min="5" max="5" width="11.36328125" style="2" customWidth="1"/>
    <col min="6" max="6" width="18.54296875" style="2" customWidth="1"/>
    <col min="7" max="7" width="16.36328125" style="2" customWidth="1"/>
    <col min="8" max="8" width="22.81640625" style="33" bestFit="1" customWidth="1"/>
    <col min="9" max="9" width="31.6328125" style="2" customWidth="1"/>
    <col min="10" max="10" width="11.26953125" style="2" hidden="1" customWidth="1"/>
    <col min="11" max="16384" width="8.7265625" style="2" hidden="1"/>
  </cols>
  <sheetData>
    <row r="1" spans="1:9" ht="20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6" customFormat="1" ht="21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3" t="s">
        <v>9</v>
      </c>
    </row>
    <row r="3" spans="1:9" s="6" customFormat="1" ht="21" customHeight="1">
      <c r="A3" s="7"/>
      <c r="B3" s="8"/>
      <c r="C3" s="8"/>
      <c r="D3" s="8"/>
      <c r="E3" s="8"/>
      <c r="F3" s="8"/>
      <c r="G3" s="8"/>
      <c r="H3" s="9"/>
      <c r="I3" s="7"/>
    </row>
    <row r="4" spans="1:9" ht="26">
      <c r="A4" s="10">
        <f>IF(B4&lt;&gt;"",COUNTA($B$4:B4),"")</f>
        <v>1</v>
      </c>
      <c r="B4" s="11" t="s">
        <v>10</v>
      </c>
      <c r="C4" s="12" t="s">
        <v>11</v>
      </c>
      <c r="D4" s="13">
        <v>39</v>
      </c>
      <c r="E4" s="14" t="s">
        <v>12</v>
      </c>
      <c r="F4" s="15">
        <v>60000</v>
      </c>
      <c r="G4" s="16">
        <f>D4*F4</f>
        <v>2340000</v>
      </c>
      <c r="H4" s="17"/>
      <c r="I4" s="18" t="s">
        <v>13</v>
      </c>
    </row>
    <row r="5" spans="1:9" ht="26">
      <c r="A5" s="10">
        <f>IF(B5&lt;&gt;"",COUNTA($B$4:B5),"")</f>
        <v>2</v>
      </c>
      <c r="B5" s="11" t="s">
        <v>14</v>
      </c>
      <c r="C5" s="12" t="s">
        <v>15</v>
      </c>
      <c r="D5" s="13">
        <v>34</v>
      </c>
      <c r="E5" s="14" t="s">
        <v>12</v>
      </c>
      <c r="F5" s="15">
        <v>60000</v>
      </c>
      <c r="G5" s="16">
        <f t="shared" ref="G5:G19" si="0">D5*F5</f>
        <v>2040000</v>
      </c>
      <c r="H5" s="17"/>
      <c r="I5" s="18" t="s">
        <v>13</v>
      </c>
    </row>
    <row r="6" spans="1:9" ht="26">
      <c r="A6" s="10">
        <f>IF(B6&lt;&gt;"",COUNTA($B$4:B6),"")</f>
        <v>3</v>
      </c>
      <c r="B6" s="11" t="s">
        <v>16</v>
      </c>
      <c r="C6" s="12" t="s">
        <v>17</v>
      </c>
      <c r="D6" s="13">
        <v>32</v>
      </c>
      <c r="E6" s="14" t="s">
        <v>12</v>
      </c>
      <c r="F6" s="15">
        <v>60000</v>
      </c>
      <c r="G6" s="16">
        <f t="shared" si="0"/>
        <v>1920000</v>
      </c>
      <c r="H6" s="17"/>
      <c r="I6" s="18" t="s">
        <v>13</v>
      </c>
    </row>
    <row r="7" spans="1:9" ht="26">
      <c r="A7" s="10">
        <f>IF(B7&lt;&gt;"",COUNTA($B$4:B7),"")</f>
        <v>4</v>
      </c>
      <c r="B7" s="11" t="s">
        <v>18</v>
      </c>
      <c r="C7" s="12" t="s">
        <v>19</v>
      </c>
      <c r="D7" s="13">
        <v>10</v>
      </c>
      <c r="E7" s="14" t="s">
        <v>12</v>
      </c>
      <c r="F7" s="15">
        <v>60000</v>
      </c>
      <c r="G7" s="16">
        <f t="shared" si="0"/>
        <v>600000</v>
      </c>
      <c r="H7" s="17"/>
      <c r="I7" s="18" t="s">
        <v>13</v>
      </c>
    </row>
    <row r="8" spans="1:9" ht="26">
      <c r="A8" s="10">
        <f>IF(B8&lt;&gt;"",COUNTA($B$4:B8),"")</f>
        <v>5</v>
      </c>
      <c r="B8" s="11" t="s">
        <v>20</v>
      </c>
      <c r="C8" s="12" t="s">
        <v>21</v>
      </c>
      <c r="D8" s="13">
        <v>32</v>
      </c>
      <c r="E8" s="14" t="s">
        <v>12</v>
      </c>
      <c r="F8" s="15">
        <v>60000</v>
      </c>
      <c r="G8" s="16">
        <f t="shared" si="0"/>
        <v>1920000</v>
      </c>
      <c r="H8" s="17"/>
      <c r="I8" s="18" t="s">
        <v>13</v>
      </c>
    </row>
    <row r="9" spans="1:9" ht="26">
      <c r="A9" s="10">
        <f>IF(B9&lt;&gt;"",COUNTA($B$4:B9),"")</f>
        <v>6</v>
      </c>
      <c r="B9" s="11" t="s">
        <v>22</v>
      </c>
      <c r="C9" s="19" t="s">
        <v>23</v>
      </c>
      <c r="D9" s="13">
        <v>15</v>
      </c>
      <c r="E9" s="20" t="s">
        <v>12</v>
      </c>
      <c r="F9" s="15">
        <v>50000</v>
      </c>
      <c r="G9" s="16">
        <f t="shared" si="0"/>
        <v>750000</v>
      </c>
      <c r="H9" s="21"/>
      <c r="I9" s="18" t="s">
        <v>13</v>
      </c>
    </row>
    <row r="10" spans="1:9" ht="26">
      <c r="A10" s="10">
        <f>IF(B10&lt;&gt;"",COUNTA($B$4:B10),"")</f>
        <v>7</v>
      </c>
      <c r="B10" s="11" t="s">
        <v>24</v>
      </c>
      <c r="C10" s="12" t="s">
        <v>25</v>
      </c>
      <c r="D10" s="22">
        <v>1</v>
      </c>
      <c r="E10" s="14" t="s">
        <v>26</v>
      </c>
      <c r="F10" s="23">
        <v>2000000</v>
      </c>
      <c r="G10" s="16">
        <f t="shared" si="0"/>
        <v>2000000</v>
      </c>
      <c r="H10" s="17"/>
      <c r="I10" s="18" t="s">
        <v>27</v>
      </c>
    </row>
    <row r="11" spans="1:9" ht="26">
      <c r="A11" s="10">
        <f>IF(B11&lt;&gt;"",COUNTA($B$4:B11),"")</f>
        <v>8</v>
      </c>
      <c r="B11" s="11" t="s">
        <v>28</v>
      </c>
      <c r="C11" s="12" t="s">
        <v>29</v>
      </c>
      <c r="D11" s="22">
        <v>1</v>
      </c>
      <c r="E11" s="14" t="s">
        <v>26</v>
      </c>
      <c r="F11" s="23">
        <v>2500000</v>
      </c>
      <c r="G11" s="16">
        <f t="shared" si="0"/>
        <v>2500000</v>
      </c>
      <c r="H11" s="17" t="s">
        <v>30</v>
      </c>
      <c r="I11" s="18" t="s">
        <v>27</v>
      </c>
    </row>
    <row r="12" spans="1:9" ht="26">
      <c r="A12" s="10">
        <f>IF(B12&lt;&gt;"",COUNTA($B$4:B12),"")</f>
        <v>9</v>
      </c>
      <c r="B12" s="11" t="s">
        <v>31</v>
      </c>
      <c r="C12" s="12" t="s">
        <v>32</v>
      </c>
      <c r="D12" s="22">
        <v>1</v>
      </c>
      <c r="E12" s="14" t="s">
        <v>26</v>
      </c>
      <c r="F12" s="23">
        <v>2500000</v>
      </c>
      <c r="G12" s="16">
        <f t="shared" si="0"/>
        <v>2500000</v>
      </c>
      <c r="H12" s="17" t="s">
        <v>30</v>
      </c>
      <c r="I12" s="18" t="s">
        <v>27</v>
      </c>
    </row>
    <row r="13" spans="1:9" ht="26">
      <c r="A13" s="10">
        <f>IF(B13&lt;&gt;"",COUNTA($B$4:B13),"")</f>
        <v>10</v>
      </c>
      <c r="B13" s="11" t="s">
        <v>33</v>
      </c>
      <c r="C13" s="12" t="s">
        <v>34</v>
      </c>
      <c r="D13" s="22">
        <v>1</v>
      </c>
      <c r="E13" s="14" t="s">
        <v>26</v>
      </c>
      <c r="F13" s="23">
        <v>2000000</v>
      </c>
      <c r="G13" s="16">
        <f t="shared" si="0"/>
        <v>2000000</v>
      </c>
      <c r="H13" s="17" t="s">
        <v>30</v>
      </c>
      <c r="I13" s="18" t="s">
        <v>27</v>
      </c>
    </row>
    <row r="14" spans="1:9" ht="26">
      <c r="A14" s="10">
        <f>IF(B14&lt;&gt;"",COUNTA($B$4:B14),"")</f>
        <v>11</v>
      </c>
      <c r="B14" s="11" t="s">
        <v>35</v>
      </c>
      <c r="C14" s="12" t="s">
        <v>36</v>
      </c>
      <c r="D14" s="22">
        <v>1</v>
      </c>
      <c r="E14" s="14" t="s">
        <v>26</v>
      </c>
      <c r="F14" s="23">
        <v>2500000</v>
      </c>
      <c r="G14" s="16">
        <f t="shared" si="0"/>
        <v>2500000</v>
      </c>
      <c r="H14" s="17" t="s">
        <v>30</v>
      </c>
      <c r="I14" s="18" t="s">
        <v>27</v>
      </c>
    </row>
    <row r="15" spans="1:9" ht="26">
      <c r="A15" s="10">
        <f>IF(B15&lt;&gt;"",COUNTA($B$4:B15),"")</f>
        <v>12</v>
      </c>
      <c r="B15" s="11" t="s">
        <v>37</v>
      </c>
      <c r="C15" s="12" t="s">
        <v>38</v>
      </c>
      <c r="D15" s="22">
        <v>1</v>
      </c>
      <c r="E15" s="14" t="s">
        <v>26</v>
      </c>
      <c r="F15" s="23">
        <v>2000000</v>
      </c>
      <c r="G15" s="16">
        <f t="shared" si="0"/>
        <v>2000000</v>
      </c>
      <c r="H15" s="17" t="s">
        <v>30</v>
      </c>
      <c r="I15" s="18" t="s">
        <v>27</v>
      </c>
    </row>
    <row r="16" spans="1:9" ht="26">
      <c r="A16" s="10">
        <f>IF(B16&lt;&gt;"",COUNTA($B$4:B16),"")</f>
        <v>13</v>
      </c>
      <c r="B16" s="11" t="s">
        <v>39</v>
      </c>
      <c r="C16" s="17" t="s">
        <v>40</v>
      </c>
      <c r="D16" s="22">
        <v>30</v>
      </c>
      <c r="E16" s="21" t="s">
        <v>12</v>
      </c>
      <c r="F16" s="24">
        <v>50000</v>
      </c>
      <c r="G16" s="16">
        <f t="shared" si="0"/>
        <v>1500000</v>
      </c>
      <c r="H16" s="21" t="s">
        <v>41</v>
      </c>
      <c r="I16" s="18" t="s">
        <v>27</v>
      </c>
    </row>
    <row r="17" spans="1:9" ht="26">
      <c r="A17" s="10">
        <f>IF(B17&lt;&gt;"",COUNTA($B$4:B17),"")</f>
        <v>14</v>
      </c>
      <c r="B17" s="25" t="s">
        <v>42</v>
      </c>
      <c r="C17" s="17" t="s">
        <v>43</v>
      </c>
      <c r="D17" s="22">
        <v>30</v>
      </c>
      <c r="E17" s="21" t="s">
        <v>12</v>
      </c>
      <c r="F17" s="24">
        <v>35000</v>
      </c>
      <c r="G17" s="16">
        <f t="shared" si="0"/>
        <v>1050000</v>
      </c>
      <c r="H17" s="21" t="s">
        <v>44</v>
      </c>
      <c r="I17" s="18" t="s">
        <v>27</v>
      </c>
    </row>
    <row r="18" spans="1:9" ht="26">
      <c r="A18" s="10">
        <f>IF(B18&lt;&gt;"",COUNTA($B$4:B18),"")</f>
        <v>15</v>
      </c>
      <c r="B18" s="11" t="s">
        <v>45</v>
      </c>
      <c r="C18" s="17" t="s">
        <v>46</v>
      </c>
      <c r="D18" s="22">
        <v>1</v>
      </c>
      <c r="E18" s="14" t="s">
        <v>26</v>
      </c>
      <c r="F18" s="23">
        <v>2000000</v>
      </c>
      <c r="G18" s="16">
        <f t="shared" si="0"/>
        <v>2000000</v>
      </c>
      <c r="H18" s="17" t="s">
        <v>30</v>
      </c>
      <c r="I18" s="18" t="s">
        <v>13</v>
      </c>
    </row>
    <row r="19" spans="1:9" ht="26">
      <c r="A19" s="10">
        <f>IF(B19&lt;&gt;"",COUNTA($B$4:B19),"")</f>
        <v>16</v>
      </c>
      <c r="B19" s="11" t="s">
        <v>47</v>
      </c>
      <c r="C19" s="17" t="s">
        <v>48</v>
      </c>
      <c r="D19" s="22">
        <v>1</v>
      </c>
      <c r="E19" s="14" t="s">
        <v>26</v>
      </c>
      <c r="F19" s="16">
        <v>500000</v>
      </c>
      <c r="G19" s="16">
        <f t="shared" si="0"/>
        <v>500000</v>
      </c>
      <c r="H19" s="17" t="s">
        <v>49</v>
      </c>
      <c r="I19" s="18" t="s">
        <v>27</v>
      </c>
    </row>
    <row r="20" spans="1:9" s="28" customFormat="1" ht="26">
      <c r="A20" s="26">
        <f>IF(B20&lt;&gt;"",COUNTA($B$4:B20),"")</f>
        <v>17</v>
      </c>
      <c r="B20" s="27" t="s">
        <v>50</v>
      </c>
      <c r="C20" s="21" t="s">
        <v>48</v>
      </c>
      <c r="D20" s="21">
        <v>26</v>
      </c>
      <c r="E20" s="21" t="s">
        <v>12</v>
      </c>
      <c r="F20" s="24">
        <v>35000</v>
      </c>
      <c r="G20" s="24">
        <f>D20*F20</f>
        <v>910000</v>
      </c>
      <c r="H20" s="21" t="s">
        <v>44</v>
      </c>
      <c r="I20" s="18" t="s">
        <v>13</v>
      </c>
    </row>
    <row r="21" spans="1:9" s="28" customFormat="1" ht="26">
      <c r="A21" s="29">
        <f>IF(B21&lt;&gt;"",COUNTA($B$4:B21),"")</f>
        <v>18</v>
      </c>
      <c r="B21" s="27" t="s">
        <v>51</v>
      </c>
      <c r="C21" s="17" t="s">
        <v>52</v>
      </c>
      <c r="D21" s="21">
        <v>26</v>
      </c>
      <c r="E21" s="21" t="s">
        <v>12</v>
      </c>
      <c r="F21" s="24">
        <v>35000</v>
      </c>
      <c r="G21" s="24">
        <f t="shared" ref="G21:G24" si="1">D21*F21</f>
        <v>910000</v>
      </c>
      <c r="H21" s="17" t="s">
        <v>53</v>
      </c>
      <c r="I21" s="18" t="s">
        <v>13</v>
      </c>
    </row>
    <row r="22" spans="1:9" s="28" customFormat="1" ht="26">
      <c r="A22" s="29">
        <f>IF(B22&lt;&gt;"",COUNTA($B$4:B22),"")</f>
        <v>19</v>
      </c>
      <c r="B22" s="27" t="s">
        <v>54</v>
      </c>
      <c r="C22" s="21" t="s">
        <v>48</v>
      </c>
      <c r="D22" s="21">
        <v>18</v>
      </c>
      <c r="E22" s="21" t="s">
        <v>12</v>
      </c>
      <c r="F22" s="24">
        <v>35000</v>
      </c>
      <c r="G22" s="24">
        <f t="shared" si="1"/>
        <v>630000</v>
      </c>
      <c r="H22" s="21" t="s">
        <v>44</v>
      </c>
      <c r="I22" s="18" t="s">
        <v>13</v>
      </c>
    </row>
    <row r="23" spans="1:9" s="28" customFormat="1" ht="26">
      <c r="A23" s="29">
        <f>IF(B23&lt;&gt;"",COUNTA($B$4:B23),"")</f>
        <v>20</v>
      </c>
      <c r="B23" s="30" t="s">
        <v>55</v>
      </c>
      <c r="C23" s="17" t="s">
        <v>56</v>
      </c>
      <c r="D23" s="21">
        <v>28</v>
      </c>
      <c r="E23" s="21" t="s">
        <v>12</v>
      </c>
      <c r="F23" s="24">
        <v>50000</v>
      </c>
      <c r="G23" s="24">
        <f t="shared" si="1"/>
        <v>1400000</v>
      </c>
      <c r="H23" s="21" t="s">
        <v>41</v>
      </c>
      <c r="I23" s="18" t="s">
        <v>13</v>
      </c>
    </row>
    <row r="24" spans="1:9" s="28" customFormat="1" ht="26">
      <c r="A24" s="29">
        <f>IF(B24&lt;&gt;"",COUNTA($B$4:B24),"")</f>
        <v>21</v>
      </c>
      <c r="B24" s="27" t="s">
        <v>57</v>
      </c>
      <c r="C24" s="17" t="s">
        <v>58</v>
      </c>
      <c r="D24" s="21">
        <v>28</v>
      </c>
      <c r="E24" s="21" t="s">
        <v>12</v>
      </c>
      <c r="F24" s="24">
        <v>35000</v>
      </c>
      <c r="G24" s="24">
        <f t="shared" si="1"/>
        <v>980000</v>
      </c>
      <c r="H24" s="21" t="s">
        <v>44</v>
      </c>
      <c r="I24" s="18" t="s">
        <v>13</v>
      </c>
    </row>
    <row r="25" spans="1:9" ht="26">
      <c r="A25" s="29">
        <f>IF(B25&lt;&gt;"",COUNTA($B$4:B25),"")</f>
        <v>22</v>
      </c>
      <c r="B25" s="31" t="s">
        <v>59</v>
      </c>
      <c r="C25" s="21" t="s">
        <v>48</v>
      </c>
      <c r="D25" s="22">
        <v>1</v>
      </c>
      <c r="E25" s="14" t="s">
        <v>26</v>
      </c>
      <c r="F25" s="24">
        <v>1000000</v>
      </c>
      <c r="G25" s="24">
        <f>D25*F25</f>
        <v>1000000</v>
      </c>
      <c r="H25" s="17" t="s">
        <v>60</v>
      </c>
      <c r="I25" s="18" t="s">
        <v>27</v>
      </c>
    </row>
    <row r="26" spans="1:9" ht="26">
      <c r="A26" s="29">
        <f>IF(B26&lt;&gt;"",COUNTA($B$4:B26),"")</f>
        <v>23</v>
      </c>
      <c r="B26" s="32" t="s">
        <v>61</v>
      </c>
      <c r="C26" s="12" t="s">
        <v>19</v>
      </c>
      <c r="D26" s="21">
        <v>24</v>
      </c>
      <c r="E26" s="21" t="s">
        <v>12</v>
      </c>
      <c r="F26" s="24">
        <v>35000</v>
      </c>
      <c r="G26" s="24">
        <f t="shared" ref="G26" si="2">D26*F26</f>
        <v>840000</v>
      </c>
      <c r="H26" s="21" t="s">
        <v>44</v>
      </c>
      <c r="I26" s="18" t="s">
        <v>13</v>
      </c>
    </row>
    <row r="27" spans="1:9"/>
    <row r="29" spans="1:9" hidden="1">
      <c r="H29" s="21"/>
    </row>
    <row r="30" spans="1:9" hidden="1">
      <c r="H30" s="21"/>
    </row>
    <row r="31" spans="1:9" hidden="1">
      <c r="H31" s="21"/>
    </row>
    <row r="32" spans="1:9" hidden="1">
      <c r="H32" s="21"/>
    </row>
    <row r="33" spans="3:8" hidden="1">
      <c r="C33" s="21" t="s">
        <v>53</v>
      </c>
      <c r="H33" s="21"/>
    </row>
    <row r="34" spans="3:8" hidden="1">
      <c r="C34" s="21" t="s">
        <v>30</v>
      </c>
    </row>
    <row r="35" spans="3:8" hidden="1">
      <c r="C35" s="21" t="s">
        <v>41</v>
      </c>
    </row>
    <row r="36" spans="3:8" hidden="1">
      <c r="C36" s="21" t="s">
        <v>49</v>
      </c>
    </row>
    <row r="37" spans="3:8" hidden="1">
      <c r="C37" s="21" t="s">
        <v>44</v>
      </c>
    </row>
    <row r="38" spans="3:8" hidden="1">
      <c r="C38" s="17" t="s">
        <v>60</v>
      </c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conditionalFormatting sqref="A4">
    <cfRule type="expression" dxfId="4" priority="5">
      <formula>$A4&lt;&gt;""</formula>
    </cfRule>
  </conditionalFormatting>
  <conditionalFormatting sqref="A25:A26 A4:I24 C25:I26">
    <cfRule type="expression" dxfId="3" priority="4">
      <formula>$A4&lt;&gt;""</formula>
    </cfRule>
  </conditionalFormatting>
  <conditionalFormatting sqref="H29:H33">
    <cfRule type="expression" dxfId="2" priority="3">
      <formula>$A29&lt;&gt;""</formula>
    </cfRule>
  </conditionalFormatting>
  <conditionalFormatting sqref="C33:C37">
    <cfRule type="expression" dxfId="1" priority="2">
      <formula>$A33&lt;&gt;""</formula>
    </cfRule>
  </conditionalFormatting>
  <conditionalFormatting sqref="C38">
    <cfRule type="expression" dxfId="0" priority="1">
      <formula>$A38&lt;&gt;""</formula>
    </cfRule>
  </conditionalFormatting>
  <pageMargins left="0.7" right="0.7" top="0.75" bottom="0.75" header="0.3" footer="0.3"/>
  <pageSetup paperSize="9" scale="72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Database</vt:lpstr>
      <vt:lpstr>GAJI</vt:lpstr>
      <vt:lpstr>KGAJI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2026-08-14T03:53:14Z</dcterms:created>
  <dcterms:modified xsi:type="dcterms:W3CDTF">2026-08-14T03:53:51Z</dcterms:modified>
</cp:coreProperties>
</file>